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  <sheet state="visible" name="Daily_Collection" sheetId="2" r:id="rId6"/>
    <sheet state="visible" name="Receipt_Print" sheetId="3" r:id="rId7"/>
  </sheets>
  <definedNames/>
  <calcPr/>
</workbook>
</file>

<file path=xl/sharedStrings.xml><?xml version="1.0" encoding="utf-8"?>
<sst xmlns="http://schemas.openxmlformats.org/spreadsheetml/2006/main" count="138" uniqueCount="102">
  <si>
    <t>ID</t>
  </si>
  <si>
    <t>Roll No</t>
  </si>
  <si>
    <t>Enroll No</t>
  </si>
  <si>
    <t>Section</t>
  </si>
  <si>
    <t>Class</t>
  </si>
  <si>
    <t>Student Name</t>
  </si>
  <si>
    <t>Father Name</t>
  </si>
  <si>
    <t>Mother Name</t>
  </si>
  <si>
    <t>Date of Birth</t>
  </si>
  <si>
    <t>Adhar No</t>
  </si>
  <si>
    <t>Mob No</t>
  </si>
  <si>
    <t>Address</t>
  </si>
  <si>
    <t>Field13</t>
  </si>
  <si>
    <t>T1 Fee</t>
  </si>
  <si>
    <t>T1 Date</t>
  </si>
  <si>
    <t>T1 Tr ID</t>
  </si>
  <si>
    <t>T2 Fee</t>
  </si>
  <si>
    <t>T2 Date</t>
  </si>
  <si>
    <t>T2 Tr ID</t>
  </si>
  <si>
    <t>T3 Fee</t>
  </si>
  <si>
    <t>T3 Date</t>
  </si>
  <si>
    <t>T3 Tr ID</t>
  </si>
  <si>
    <t>T4 Fee</t>
  </si>
  <si>
    <t>T4 Date</t>
  </si>
  <si>
    <t>T4 Tr ID</t>
  </si>
  <si>
    <t>T5 Fee</t>
  </si>
  <si>
    <t>T5 Date</t>
  </si>
  <si>
    <t>T5 Tr ID</t>
  </si>
  <si>
    <t>Total Paid</t>
  </si>
  <si>
    <t>Due</t>
  </si>
  <si>
    <t>Total Fee</t>
  </si>
  <si>
    <t>Documents status</t>
  </si>
  <si>
    <t>Status of marksheet collection</t>
  </si>
  <si>
    <t>Status of TC collection</t>
  </si>
  <si>
    <t>A</t>
  </si>
  <si>
    <t>Rahul Singh</t>
  </si>
  <si>
    <t>Rajesh Singh</t>
  </si>
  <si>
    <t>Sunita Singh</t>
  </si>
  <si>
    <t>Prayagraj</t>
  </si>
  <si>
    <t>-</t>
  </si>
  <si>
    <t>Aman Verma</t>
  </si>
  <si>
    <t>Suresh Verma</t>
  </si>
  <si>
    <t>Kavita Verma</t>
  </si>
  <si>
    <t>B</t>
  </si>
  <si>
    <t>Priya Sharma</t>
  </si>
  <si>
    <t>Mahesh Sharma</t>
  </si>
  <si>
    <t>Rekha Sharma</t>
  </si>
  <si>
    <t>Ishita Gupta</t>
  </si>
  <si>
    <t>Manoj Gupta</t>
  </si>
  <si>
    <t>Pooja Gupta</t>
  </si>
  <si>
    <t>Rohit Yadav</t>
  </si>
  <si>
    <t>Vijay Yadav</t>
  </si>
  <si>
    <t>Savita Yadav</t>
  </si>
  <si>
    <t>Neha Mishra</t>
  </si>
  <si>
    <t>Anil Mishra</t>
  </si>
  <si>
    <t>Sarita Mishra</t>
  </si>
  <si>
    <t>Arjun Patel</t>
  </si>
  <si>
    <t>Ramesh Patel</t>
  </si>
  <si>
    <t>Meena Patel</t>
  </si>
  <si>
    <t>MGIC-2026-63959</t>
  </si>
  <si>
    <t>MGIC-2026-57496</t>
  </si>
  <si>
    <t>MGIC-2026-45620</t>
  </si>
  <si>
    <t>MGIC-2026-65162</t>
  </si>
  <si>
    <t>Kavya Singh</t>
  </si>
  <si>
    <t>Dinesh Singh</t>
  </si>
  <si>
    <t>Priti Singh</t>
  </si>
  <si>
    <t>Vikas Kumar</t>
  </si>
  <si>
    <t>Sanjay Kumar</t>
  </si>
  <si>
    <t>Anita Kumar</t>
  </si>
  <si>
    <t>Simran Kaur</t>
  </si>
  <si>
    <t>Harpreet Singh</t>
  </si>
  <si>
    <t>Jaspreet Kaur</t>
  </si>
  <si>
    <t>MGIC-2026-60644</t>
  </si>
  <si>
    <t>MGIC-2026-68477</t>
  </si>
  <si>
    <t>Aditya Singh</t>
  </si>
  <si>
    <t>Rajiv Singh</t>
  </si>
  <si>
    <t>Nidhi Singh</t>
  </si>
  <si>
    <t>Pooja Yadav</t>
  </si>
  <si>
    <t>Ram Yadav</t>
  </si>
  <si>
    <t>Sita Yadav</t>
  </si>
  <si>
    <t>Receipt No</t>
  </si>
  <si>
    <t>Amount</t>
  </si>
  <si>
    <t>Fee Type</t>
  </si>
  <si>
    <t>Date</t>
  </si>
  <si>
    <t>Mode</t>
  </si>
  <si>
    <t>ENR004</t>
  </si>
  <si>
    <t>T1</t>
  </si>
  <si>
    <t>Cash</t>
  </si>
  <si>
    <r>
      <rPr>
        <rFont val="Arial"/>
        <b/>
        <color rgb="FF980000"/>
        <sz val="20.0"/>
      </rPr>
      <t xml:space="preserve">स्व० इन्द्राणी देवी शुक्ला इंटरमीडिएट कॉलेज
</t>
    </r>
    <r>
      <rPr>
        <rFont val="Arial"/>
        <color rgb="FF980000"/>
        <sz val="9.0"/>
      </rPr>
      <t xml:space="preserve">
</t>
    </r>
    <r>
      <rPr>
        <rFont val="Arial"/>
        <color rgb="FF980000"/>
        <sz val="12.0"/>
      </rPr>
      <t>भूषलपुर, पिपरी, हंडिया, प्रयागराज, उत्तर प्रदेश - 221503</t>
    </r>
  </si>
  <si>
    <t>शुल्क रसीद</t>
  </si>
  <si>
    <t xml:space="preserve">दिनांक: </t>
  </si>
  <si>
    <t xml:space="preserve">नामांकन क्रमांक: </t>
  </si>
  <si>
    <t>ENR011</t>
  </si>
  <si>
    <t>रसीद क्रमांक:</t>
  </si>
  <si>
    <t>विद्यार्थी का नाम:</t>
  </si>
  <si>
    <t>पिता का नाम:</t>
  </si>
  <si>
    <t>कक्षा:</t>
  </si>
  <si>
    <t>शैक्षिक सत्र:</t>
  </si>
  <si>
    <t>जमा राशि:</t>
  </si>
  <si>
    <t>बकाया राशि:</t>
  </si>
  <si>
    <t>हस्ताक्षर जमाकर्ता</t>
  </si>
  <si>
    <t>हस्ताक्षर एवं मुहर प्राप्तकर्ता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</si>
</sst>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d/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980000"/>
      <name val="Arial"/>
      <scheme val="minor"/>
    </font>
    <font/>
    <font>
      <b/>
      <sz val="10.0"/>
      <color rgb="FF000000"/>
      <name val="Helvetica"/>
    </font>
    <font>
      <sz val="6.0"/>
      <color rgb="FF000000"/>
      <name val="Helvetica"/>
    </font>
    <font>
      <b/>
      <sz val="9.0"/>
      <color theme="1"/>
      <name val="Arial"/>
      <scheme val="minor"/>
    </font>
    <font>
      <b/>
      <sz val="9.0"/>
      <color rgb="FF000000"/>
      <name val="Helvetica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1">
    <border/>
    <border>
      <left style="double">
        <color rgb="FF980000"/>
      </left>
      <right style="double">
        <color rgb="FF980000"/>
      </right>
      <top style="double">
        <color rgb="FF980000"/>
      </top>
    </border>
    <border>
      <left style="double">
        <color rgb="FF980000"/>
      </left>
      <top style="double">
        <color rgb="FF980000"/>
      </top>
    </border>
    <border>
      <top style="double">
        <color rgb="FF980000"/>
      </top>
    </border>
    <border>
      <right style="double">
        <color rgb="FF980000"/>
      </right>
      <top style="double">
        <color rgb="FF980000"/>
      </top>
    </border>
    <border>
      <left style="double">
        <color rgb="FF980000"/>
      </left>
      <right style="double">
        <color rgb="FF980000"/>
      </right>
    </border>
    <border>
      <left style="double">
        <color rgb="FF980000"/>
      </left>
    </border>
    <border>
      <right style="double">
        <color rgb="FF980000"/>
      </right>
    </border>
    <border>
      <left style="double">
        <color rgb="FF980000"/>
      </left>
      <right style="double">
        <color rgb="FF980000"/>
      </right>
      <bottom style="double">
        <color rgb="FF980000"/>
      </bottom>
    </border>
    <border>
      <left style="double">
        <color rgb="FF980000"/>
      </left>
      <bottom style="double">
        <color rgb="FF980000"/>
      </bottom>
    </border>
    <border>
      <bottom style="double">
        <color rgb="FF980000"/>
      </bottom>
    </border>
    <border>
      <right style="double">
        <color rgb="FF980000"/>
      </right>
      <bottom style="double">
        <color rgb="FF980000"/>
      </bottom>
    </border>
    <border>
      <left style="double">
        <color rgb="FF980000"/>
      </left>
      <top style="double">
        <color rgb="FF980000"/>
      </top>
      <bottom style="dotted">
        <color rgb="FF000000"/>
      </bottom>
    </border>
    <border>
      <top style="double">
        <color rgb="FF980000"/>
      </top>
      <bottom style="dotted">
        <color rgb="FF000000"/>
      </bottom>
    </border>
    <border>
      <right style="double">
        <color rgb="FF980000"/>
      </right>
      <top style="double">
        <color rgb="FF980000"/>
      </top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1" numFmtId="0" xfId="0" applyBorder="1" applyFont="1"/>
    <xf borderId="12" fillId="0" fontId="4" numFmtId="0" xfId="0" applyAlignment="1" applyBorder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6" fillId="0" fontId="1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6" fillId="0" fontId="7" numFmtId="0" xfId="0" applyAlignment="1" applyBorder="1" applyFont="1">
      <alignment horizontal="right" readingOrder="0"/>
    </xf>
    <xf borderId="15" fillId="0" fontId="6" numFmtId="0" xfId="0" applyBorder="1" applyFont="1"/>
    <xf borderId="15" fillId="0" fontId="6" numFmtId="0" xfId="0" applyAlignment="1" applyBorder="1" applyFont="1">
      <alignment readingOrder="0"/>
    </xf>
    <xf borderId="7" fillId="0" fontId="8" numFmtId="0" xfId="0" applyBorder="1" applyFont="1"/>
    <xf borderId="15" fillId="0" fontId="3" numFmtId="0" xfId="0" applyBorder="1" applyFont="1"/>
    <xf borderId="6" fillId="0" fontId="8" numFmtId="0" xfId="0" applyBorder="1" applyFont="1"/>
    <xf borderId="0" fillId="0" fontId="7" numFmtId="0" xfId="0" applyAlignment="1" applyFont="1">
      <alignment readingOrder="0"/>
    </xf>
    <xf borderId="0" fillId="0" fontId="6" numFmtId="0" xfId="0" applyFont="1"/>
    <xf borderId="16" fillId="0" fontId="7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  <xf borderId="0" fillId="0" fontId="8" numFmtId="0" xfId="0" applyFont="1"/>
    <xf borderId="16" fillId="0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8" numFmtId="0" xfId="0" applyAlignment="1" applyBorder="1" applyFont="1">
      <alignment horizontal="center" readingOrder="0"/>
    </xf>
    <xf borderId="20" fillId="0" fontId="3" numFmtId="0" xfId="0" applyBorder="1" applyFont="1"/>
    <xf borderId="9" fillId="0" fontId="1" numFmtId="0" xfId="0" applyBorder="1" applyFont="1"/>
    <xf borderId="10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" cy="200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7.25"/>
    <col customWidth="1" min="3" max="3" width="7.88"/>
    <col customWidth="1" min="4" max="4" width="6.5"/>
    <col customWidth="1" min="5" max="5" width="5.13"/>
    <col customWidth="1" min="6" max="6" width="11.63"/>
    <col customWidth="1" min="7" max="7" width="13.25"/>
    <col customWidth="1" min="8" max="8" width="12.13"/>
    <col customWidth="1" min="9" max="9" width="10.25"/>
    <col customWidth="1" min="10" max="10" width="12.13"/>
    <col customWidth="1" min="11" max="11" width="10.25"/>
    <col customWidth="1" min="12" max="12" width="8.13"/>
    <col customWidth="1" min="13" max="13" width="6.5"/>
    <col customWidth="1" min="14" max="14" width="6.25"/>
    <col customWidth="1" min="15" max="16" width="9.38"/>
    <col customWidth="1" min="17" max="17" width="6.25"/>
    <col customWidth="1" min="18" max="19" width="6.88"/>
    <col customWidth="1" min="20" max="20" width="6.25"/>
    <col customWidth="1" min="21" max="22" width="6.88"/>
    <col customWidth="1" min="23" max="23" width="6.25"/>
    <col customWidth="1" min="24" max="25" width="6.88"/>
    <col customWidth="1" min="26" max="26" width="6.25"/>
    <col customWidth="1" min="27" max="28" width="6.88"/>
    <col customWidth="1" min="29" max="29" width="8.38"/>
    <col customWidth="1" min="30" max="30" width="4.75"/>
    <col customWidth="1" min="31" max="31" width="7.88"/>
    <col customWidth="1" min="32" max="32" width="14.38"/>
    <col customWidth="1" min="33" max="33" width="23.25"/>
    <col customWidth="1" min="34" max="3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1.0</v>
      </c>
      <c r="B2" s="1">
        <v>1.0</v>
      </c>
      <c r="C2" s="1">
        <v>90001.0</v>
      </c>
      <c r="D2" s="1" t="s">
        <v>34</v>
      </c>
      <c r="E2" s="1">
        <v>9.0</v>
      </c>
      <c r="F2" s="1" t="s">
        <v>35</v>
      </c>
      <c r="G2" s="1" t="s">
        <v>36</v>
      </c>
      <c r="H2" s="1" t="s">
        <v>37</v>
      </c>
      <c r="I2" s="2">
        <v>40310.0</v>
      </c>
      <c r="J2" s="1">
        <v>1.23456789012E11</v>
      </c>
      <c r="K2" s="1">
        <v>9.87654321E9</v>
      </c>
      <c r="L2" s="1" t="s">
        <v>38</v>
      </c>
      <c r="M2" s="1" t="s">
        <v>39</v>
      </c>
      <c r="N2" s="1">
        <v>0.0</v>
      </c>
      <c r="Q2" s="1">
        <v>0.0</v>
      </c>
      <c r="T2" s="1">
        <v>0.0</v>
      </c>
      <c r="W2" s="1">
        <v>0.0</v>
      </c>
      <c r="Z2" s="1">
        <v>0.0</v>
      </c>
      <c r="AC2" s="1">
        <f t="shared" ref="AC2:AC4" si="1">SUM(N2,Q2,T2,W2,Z2)</f>
        <v>0</v>
      </c>
      <c r="AD2" s="3">
        <f t="shared" ref="AD2:AD5" si="2">AE2-AC2</f>
        <v>3000</v>
      </c>
      <c r="AE2" s="1">
        <v>3000.0</v>
      </c>
      <c r="AF2" s="1"/>
      <c r="AG2" s="1"/>
      <c r="AH2" s="1"/>
    </row>
    <row r="3">
      <c r="A3" s="1">
        <v>2.0</v>
      </c>
      <c r="B3" s="1">
        <v>2.0</v>
      </c>
      <c r="C3" s="1">
        <v>90002.0</v>
      </c>
      <c r="D3" s="1" t="s">
        <v>34</v>
      </c>
      <c r="E3" s="1">
        <v>9.0</v>
      </c>
      <c r="F3" s="1" t="s">
        <v>40</v>
      </c>
      <c r="G3" s="1" t="s">
        <v>41</v>
      </c>
      <c r="H3" s="1" t="s">
        <v>42</v>
      </c>
      <c r="I3" s="2">
        <v>40398.0</v>
      </c>
      <c r="J3" s="1">
        <v>1.23456789013E11</v>
      </c>
      <c r="K3" s="1">
        <v>9.876543211E9</v>
      </c>
      <c r="L3" s="1" t="s">
        <v>38</v>
      </c>
      <c r="M3" s="1" t="s">
        <v>39</v>
      </c>
      <c r="N3" s="1">
        <v>0.0</v>
      </c>
      <c r="Q3" s="1">
        <v>0.0</v>
      </c>
      <c r="T3" s="1">
        <v>0.0</v>
      </c>
      <c r="W3" s="1">
        <v>0.0</v>
      </c>
      <c r="Z3" s="1">
        <v>0.0</v>
      </c>
      <c r="AC3" s="1">
        <f t="shared" si="1"/>
        <v>0</v>
      </c>
      <c r="AD3" s="3">
        <f t="shared" si="2"/>
        <v>3000</v>
      </c>
      <c r="AE3" s="1">
        <v>3000.0</v>
      </c>
      <c r="AF3" s="1"/>
      <c r="AG3" s="1"/>
      <c r="AH3" s="1"/>
    </row>
    <row r="4">
      <c r="A4" s="1">
        <v>3.0</v>
      </c>
      <c r="B4" s="1">
        <v>3.0</v>
      </c>
      <c r="C4" s="1">
        <v>90003.0</v>
      </c>
      <c r="D4" s="1" t="s">
        <v>43</v>
      </c>
      <c r="E4" s="1">
        <v>9.0</v>
      </c>
      <c r="F4" s="1" t="s">
        <v>44</v>
      </c>
      <c r="G4" s="1" t="s">
        <v>45</v>
      </c>
      <c r="H4" s="1" t="s">
        <v>46</v>
      </c>
      <c r="I4" s="2">
        <v>40231.0</v>
      </c>
      <c r="J4" s="1">
        <v>1.23456789014E11</v>
      </c>
      <c r="K4" s="1">
        <v>9.876543212E9</v>
      </c>
      <c r="L4" s="1" t="s">
        <v>38</v>
      </c>
      <c r="M4" s="1" t="s">
        <v>39</v>
      </c>
      <c r="N4" s="1">
        <v>0.0</v>
      </c>
      <c r="Q4" s="1">
        <v>0.0</v>
      </c>
      <c r="T4" s="1">
        <v>0.0</v>
      </c>
      <c r="W4" s="1">
        <v>0.0</v>
      </c>
      <c r="Z4" s="1">
        <v>0.0</v>
      </c>
      <c r="AC4" s="1">
        <f t="shared" si="1"/>
        <v>0</v>
      </c>
      <c r="AD4" s="3">
        <f t="shared" si="2"/>
        <v>3000</v>
      </c>
      <c r="AE4" s="1">
        <v>3000.0</v>
      </c>
      <c r="AF4" s="1"/>
      <c r="AG4" s="1"/>
      <c r="AH4" s="1"/>
    </row>
    <row r="5">
      <c r="A5" s="4"/>
      <c r="AD5" s="3">
        <f t="shared" si="2"/>
        <v>0</v>
      </c>
    </row>
    <row r="6">
      <c r="A6" s="1">
        <v>4.0</v>
      </c>
      <c r="B6" s="1">
        <v>1.0</v>
      </c>
      <c r="C6" s="1">
        <v>100001.0</v>
      </c>
      <c r="D6" s="1" t="s">
        <v>34</v>
      </c>
      <c r="E6" s="1">
        <v>10.0</v>
      </c>
      <c r="F6" s="1" t="s">
        <v>47</v>
      </c>
      <c r="G6" s="1" t="s">
        <v>48</v>
      </c>
      <c r="H6" s="1" t="s">
        <v>49</v>
      </c>
      <c r="I6" s="2">
        <v>39886.0</v>
      </c>
      <c r="J6" s="1">
        <v>1.23456789015E11</v>
      </c>
      <c r="K6" s="1">
        <v>9.876543213E9</v>
      </c>
      <c r="L6" s="1" t="s">
        <v>38</v>
      </c>
      <c r="M6" s="1" t="s">
        <v>39</v>
      </c>
      <c r="N6" s="1">
        <v>3200.0</v>
      </c>
      <c r="O6" s="5">
        <v>46124.0</v>
      </c>
      <c r="P6" s="5"/>
      <c r="Q6" s="1">
        <v>0.0</v>
      </c>
      <c r="T6" s="1">
        <v>0.0</v>
      </c>
      <c r="W6" s="1">
        <v>0.0</v>
      </c>
      <c r="Z6" s="1">
        <v>0.0</v>
      </c>
      <c r="AC6" s="1">
        <v>3200.0</v>
      </c>
      <c r="AD6" s="6">
        <v>300.0</v>
      </c>
      <c r="AE6" s="1">
        <v>3500.0</v>
      </c>
      <c r="AF6" s="1"/>
      <c r="AG6" s="1"/>
      <c r="AH6" s="1"/>
    </row>
    <row r="7">
      <c r="A7" s="1">
        <v>5.0</v>
      </c>
      <c r="B7" s="1">
        <v>2.0</v>
      </c>
      <c r="C7" s="1">
        <v>100002.0</v>
      </c>
      <c r="D7" s="1" t="s">
        <v>43</v>
      </c>
      <c r="E7" s="1">
        <v>10.0</v>
      </c>
      <c r="F7" s="1" t="s">
        <v>50</v>
      </c>
      <c r="G7" s="1" t="s">
        <v>51</v>
      </c>
      <c r="H7" s="1" t="s">
        <v>52</v>
      </c>
      <c r="I7" s="2">
        <v>40118.0</v>
      </c>
      <c r="J7" s="1">
        <v>1.23456789016E11</v>
      </c>
      <c r="K7" s="1">
        <v>9.876543214E9</v>
      </c>
      <c r="L7" s="1" t="s">
        <v>38</v>
      </c>
      <c r="M7" s="1" t="s">
        <v>39</v>
      </c>
      <c r="N7" s="1">
        <v>0.0</v>
      </c>
      <c r="Q7" s="1">
        <v>0.0</v>
      </c>
      <c r="T7" s="1">
        <v>0.0</v>
      </c>
      <c r="W7" s="1">
        <v>0.0</v>
      </c>
      <c r="Z7" s="1">
        <v>0.0</v>
      </c>
      <c r="AC7" s="1">
        <f t="shared" ref="AC7:AC8" si="3">SUM(N7,Q7,T7,W7,Z7)</f>
        <v>0</v>
      </c>
      <c r="AD7" s="3">
        <f t="shared" ref="AD7:AD9" si="4">AE7-AC7</f>
        <v>3500</v>
      </c>
      <c r="AE7" s="1">
        <v>3500.0</v>
      </c>
      <c r="AF7" s="1"/>
      <c r="AG7" s="1"/>
      <c r="AH7" s="1"/>
    </row>
    <row r="8">
      <c r="A8" s="1">
        <v>6.0</v>
      </c>
      <c r="B8" s="1">
        <v>3.0</v>
      </c>
      <c r="C8" s="1">
        <v>100003.0</v>
      </c>
      <c r="D8" s="1" t="s">
        <v>34</v>
      </c>
      <c r="E8" s="1">
        <v>10.0</v>
      </c>
      <c r="F8" s="1" t="s">
        <v>53</v>
      </c>
      <c r="G8" s="1" t="s">
        <v>54</v>
      </c>
      <c r="H8" s="1" t="s">
        <v>55</v>
      </c>
      <c r="I8" s="2">
        <v>40013.0</v>
      </c>
      <c r="J8" s="1">
        <v>1.23456789017E11</v>
      </c>
      <c r="K8" s="1">
        <v>9.876543215E9</v>
      </c>
      <c r="L8" s="1" t="s">
        <v>38</v>
      </c>
      <c r="M8" s="1" t="s">
        <v>39</v>
      </c>
      <c r="N8" s="1">
        <v>0.0</v>
      </c>
      <c r="Q8" s="1">
        <v>0.0</v>
      </c>
      <c r="T8" s="1">
        <v>0.0</v>
      </c>
      <c r="W8" s="1">
        <v>0.0</v>
      </c>
      <c r="Z8" s="1">
        <v>0.0</v>
      </c>
      <c r="AC8" s="1">
        <f t="shared" si="3"/>
        <v>0</v>
      </c>
      <c r="AD8" s="3">
        <f t="shared" si="4"/>
        <v>3500</v>
      </c>
      <c r="AE8" s="1">
        <v>3500.0</v>
      </c>
      <c r="AF8" s="1"/>
      <c r="AG8" s="1"/>
      <c r="AH8" s="1"/>
    </row>
    <row r="9">
      <c r="AD9" s="3">
        <f t="shared" si="4"/>
        <v>0</v>
      </c>
    </row>
    <row r="10">
      <c r="A10" s="1">
        <v>7.0</v>
      </c>
      <c r="B10" s="1">
        <v>1.0</v>
      </c>
      <c r="C10" s="1">
        <v>110001.0</v>
      </c>
      <c r="D10" s="1" t="s">
        <v>34</v>
      </c>
      <c r="E10" s="1">
        <v>11.0</v>
      </c>
      <c r="F10" s="1" t="s">
        <v>56</v>
      </c>
      <c r="G10" s="1" t="s">
        <v>57</v>
      </c>
      <c r="H10" s="1" t="s">
        <v>58</v>
      </c>
      <c r="I10" s="2">
        <v>39452.0</v>
      </c>
      <c r="J10" s="1">
        <v>1.23456789018E11</v>
      </c>
      <c r="K10" s="1">
        <v>9.876543216E9</v>
      </c>
      <c r="L10" s="1" t="s">
        <v>38</v>
      </c>
      <c r="M10" s="1" t="s">
        <v>39</v>
      </c>
      <c r="N10" s="1">
        <v>100.0</v>
      </c>
      <c r="O10" s="7">
        <v>46211.0</v>
      </c>
      <c r="P10" s="7"/>
      <c r="Q10" s="1">
        <v>120.0</v>
      </c>
      <c r="R10" s="7">
        <v>46211.0</v>
      </c>
      <c r="S10" s="1" t="s">
        <v>59</v>
      </c>
      <c r="T10" s="1">
        <v>100.0</v>
      </c>
      <c r="U10" s="7">
        <v>46211.0</v>
      </c>
      <c r="V10" s="1" t="s">
        <v>60</v>
      </c>
      <c r="W10" s="1">
        <v>100.0</v>
      </c>
      <c r="X10" s="7">
        <v>46211.0</v>
      </c>
      <c r="Y10" s="1" t="s">
        <v>61</v>
      </c>
      <c r="Z10" s="1">
        <v>3580.0</v>
      </c>
      <c r="AA10" s="7">
        <v>46211.0</v>
      </c>
      <c r="AB10" s="1" t="s">
        <v>62</v>
      </c>
      <c r="AC10" s="1">
        <v>7580.0</v>
      </c>
      <c r="AD10" s="6">
        <v>0.0</v>
      </c>
      <c r="AE10" s="1">
        <v>4000.0</v>
      </c>
      <c r="AF10" s="1"/>
      <c r="AG10" s="1"/>
      <c r="AH10" s="1"/>
    </row>
    <row r="11">
      <c r="A11" s="1">
        <v>8.0</v>
      </c>
      <c r="B11" s="1">
        <v>2.0</v>
      </c>
      <c r="C11" s="1">
        <v>110002.0</v>
      </c>
      <c r="D11" s="1" t="s">
        <v>43</v>
      </c>
      <c r="E11" s="1">
        <v>11.0</v>
      </c>
      <c r="F11" s="1" t="s">
        <v>63</v>
      </c>
      <c r="G11" s="1" t="s">
        <v>64</v>
      </c>
      <c r="H11" s="1" t="s">
        <v>65</v>
      </c>
      <c r="I11" s="2">
        <v>39629.0</v>
      </c>
      <c r="J11" s="1">
        <v>1.23456789019E11</v>
      </c>
      <c r="K11" s="1">
        <v>9.876543217E9</v>
      </c>
      <c r="L11" s="1" t="s">
        <v>38</v>
      </c>
      <c r="M11" s="1" t="s">
        <v>39</v>
      </c>
      <c r="N11" s="1">
        <v>0.0</v>
      </c>
      <c r="Q11" s="1">
        <v>0.0</v>
      </c>
      <c r="T11" s="1">
        <v>0.0</v>
      </c>
      <c r="W11" s="1">
        <v>0.0</v>
      </c>
      <c r="Z11" s="1">
        <v>0.0</v>
      </c>
      <c r="AC11" s="1">
        <f t="shared" ref="AC11:AC12" si="5">SUM(N11,Q11,T11,W11,Z11)</f>
        <v>0</v>
      </c>
      <c r="AD11" s="3">
        <f t="shared" ref="AD11:AD13" si="6">AE11-AC11</f>
        <v>4000</v>
      </c>
      <c r="AE11" s="1">
        <v>4000.0</v>
      </c>
      <c r="AF11" s="1"/>
      <c r="AG11" s="1"/>
      <c r="AH11" s="1"/>
    </row>
    <row r="12">
      <c r="A12" s="1">
        <v>9.0</v>
      </c>
      <c r="B12" s="1">
        <v>3.0</v>
      </c>
      <c r="C12" s="1">
        <v>110003.0</v>
      </c>
      <c r="D12" s="1" t="s">
        <v>34</v>
      </c>
      <c r="E12" s="1">
        <v>11.0</v>
      </c>
      <c r="F12" s="1" t="s">
        <v>66</v>
      </c>
      <c r="G12" s="1" t="s">
        <v>67</v>
      </c>
      <c r="H12" s="1" t="s">
        <v>68</v>
      </c>
      <c r="I12" s="2">
        <v>39703.0</v>
      </c>
      <c r="J12" s="1">
        <v>1.2345678902E11</v>
      </c>
      <c r="K12" s="1">
        <v>9.876543218E9</v>
      </c>
      <c r="L12" s="1" t="s">
        <v>38</v>
      </c>
      <c r="M12" s="1" t="s">
        <v>39</v>
      </c>
      <c r="N12" s="1">
        <v>0.0</v>
      </c>
      <c r="Q12" s="1">
        <v>0.0</v>
      </c>
      <c r="T12" s="1">
        <v>0.0</v>
      </c>
      <c r="W12" s="1">
        <v>0.0</v>
      </c>
      <c r="Z12" s="1">
        <v>0.0</v>
      </c>
      <c r="AC12" s="1">
        <f t="shared" si="5"/>
        <v>0</v>
      </c>
      <c r="AD12" s="3">
        <f t="shared" si="6"/>
        <v>4000</v>
      </c>
      <c r="AE12" s="1">
        <v>4000.0</v>
      </c>
      <c r="AF12" s="1"/>
      <c r="AG12" s="1"/>
      <c r="AH12" s="1"/>
    </row>
    <row r="13">
      <c r="A13" s="4"/>
      <c r="AD13" s="3">
        <f t="shared" si="6"/>
        <v>0</v>
      </c>
    </row>
    <row r="14">
      <c r="A14" s="1">
        <v>10.0</v>
      </c>
      <c r="B14" s="1">
        <v>1.0</v>
      </c>
      <c r="C14" s="1">
        <v>120001.0</v>
      </c>
      <c r="D14" s="1" t="s">
        <v>34</v>
      </c>
      <c r="E14" s="1">
        <v>12.0</v>
      </c>
      <c r="F14" s="1" t="s">
        <v>69</v>
      </c>
      <c r="G14" s="1" t="s">
        <v>70</v>
      </c>
      <c r="H14" s="1" t="s">
        <v>71</v>
      </c>
      <c r="I14" s="2">
        <v>39189.0</v>
      </c>
      <c r="J14" s="1">
        <v>1.23456789021E11</v>
      </c>
      <c r="K14" s="1">
        <v>9.876543219E9</v>
      </c>
      <c r="L14" s="1" t="s">
        <v>38</v>
      </c>
      <c r="M14" s="1" t="s">
        <v>39</v>
      </c>
      <c r="N14" s="1">
        <v>1000.0</v>
      </c>
      <c r="O14" s="7">
        <v>46211.0</v>
      </c>
      <c r="P14" s="1" t="s">
        <v>72</v>
      </c>
      <c r="Q14" s="1">
        <v>1000.0</v>
      </c>
      <c r="R14" s="7">
        <v>46211.0</v>
      </c>
      <c r="S14" s="1" t="s">
        <v>73</v>
      </c>
      <c r="T14" s="1">
        <v>0.0</v>
      </c>
      <c r="W14" s="1">
        <v>0.0</v>
      </c>
      <c r="Z14" s="1">
        <v>0.0</v>
      </c>
      <c r="AC14" s="1">
        <v>2000.0</v>
      </c>
      <c r="AD14" s="6">
        <v>2500.0</v>
      </c>
      <c r="AE14" s="1">
        <v>4500.0</v>
      </c>
      <c r="AF14" s="1"/>
      <c r="AG14" s="1"/>
      <c r="AH14" s="1"/>
    </row>
    <row r="15">
      <c r="A15" s="1">
        <v>11.0</v>
      </c>
      <c r="B15" s="1">
        <v>2.0</v>
      </c>
      <c r="C15" s="1">
        <v>120002.0</v>
      </c>
      <c r="D15" s="1" t="s">
        <v>43</v>
      </c>
      <c r="E15" s="1">
        <v>12.0</v>
      </c>
      <c r="F15" s="1" t="s">
        <v>74</v>
      </c>
      <c r="G15" s="1" t="s">
        <v>75</v>
      </c>
      <c r="H15" s="1" t="s">
        <v>76</v>
      </c>
      <c r="I15" s="2">
        <v>39425.0</v>
      </c>
      <c r="J15" s="1">
        <v>1.23456789022E11</v>
      </c>
      <c r="K15" s="1">
        <v>9.87654322E9</v>
      </c>
      <c r="L15" s="1" t="s">
        <v>38</v>
      </c>
      <c r="M15" s="1" t="s">
        <v>39</v>
      </c>
      <c r="N15" s="1">
        <v>0.0</v>
      </c>
      <c r="Q15" s="1">
        <v>0.0</v>
      </c>
      <c r="T15" s="1">
        <v>0.0</v>
      </c>
      <c r="W15" s="1">
        <v>0.0</v>
      </c>
      <c r="Z15" s="1">
        <v>0.0</v>
      </c>
      <c r="AC15" s="1">
        <f t="shared" ref="AC15:AC16" si="7">SUM(N15,Q15,T15,W15,Z15)</f>
        <v>0</v>
      </c>
      <c r="AD15" s="3">
        <f t="shared" ref="AD15:AD16" si="8">AE15-AC15</f>
        <v>4500</v>
      </c>
      <c r="AE15" s="1">
        <v>4500.0</v>
      </c>
      <c r="AF15" s="1"/>
      <c r="AG15" s="1"/>
      <c r="AH15" s="1"/>
    </row>
    <row r="16">
      <c r="A16" s="1">
        <v>12.0</v>
      </c>
      <c r="B16" s="1">
        <v>3.0</v>
      </c>
      <c r="C16" s="1">
        <v>120003.0</v>
      </c>
      <c r="D16" s="1" t="s">
        <v>34</v>
      </c>
      <c r="E16" s="1">
        <v>12.0</v>
      </c>
      <c r="F16" s="1" t="s">
        <v>77</v>
      </c>
      <c r="G16" s="1" t="s">
        <v>78</v>
      </c>
      <c r="H16" s="1" t="s">
        <v>79</v>
      </c>
      <c r="I16" s="2">
        <v>39319.0</v>
      </c>
      <c r="J16" s="1">
        <v>1.23456789023E11</v>
      </c>
      <c r="K16" s="1">
        <v>9.876543221E9</v>
      </c>
      <c r="L16" s="1" t="s">
        <v>38</v>
      </c>
      <c r="M16" s="1" t="s">
        <v>39</v>
      </c>
      <c r="N16" s="1">
        <v>0.0</v>
      </c>
      <c r="Q16" s="1">
        <v>0.0</v>
      </c>
      <c r="T16" s="1">
        <v>0.0</v>
      </c>
      <c r="W16" s="1">
        <v>0.0</v>
      </c>
      <c r="Z16" s="1">
        <v>0.0</v>
      </c>
      <c r="AC16" s="1">
        <f t="shared" si="7"/>
        <v>0</v>
      </c>
      <c r="AD16" s="3">
        <f t="shared" si="8"/>
        <v>4500</v>
      </c>
      <c r="AE16" s="1">
        <v>4500.0</v>
      </c>
      <c r="AF16" s="1"/>
      <c r="AG16" s="1"/>
      <c r="AH16" s="1"/>
    </row>
    <row r="17">
      <c r="A17" s="4"/>
    </row>
    <row r="18">
      <c r="A18" s="4"/>
    </row>
    <row r="19">
      <c r="A19" s="4"/>
    </row>
    <row r="21">
      <c r="A21" s="4"/>
    </row>
    <row r="22">
      <c r="A22" s="4"/>
    </row>
    <row r="23">
      <c r="A2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7.88"/>
    <col customWidth="1" min="3" max="3" width="5.13"/>
    <col customWidth="1" min="4" max="4" width="11.63"/>
    <col customWidth="1" min="5" max="5" width="6.75"/>
    <col customWidth="1" min="6" max="6" width="8.0"/>
    <col customWidth="1" min="7" max="7" width="4.5"/>
    <col customWidth="1" min="8" max="8" width="5.13"/>
  </cols>
  <sheetData>
    <row r="1">
      <c r="A1" s="1" t="s">
        <v>80</v>
      </c>
      <c r="B1" s="1" t="s">
        <v>2</v>
      </c>
      <c r="C1" s="1" t="s">
        <v>4</v>
      </c>
      <c r="D1" s="1" t="s">
        <v>5</v>
      </c>
      <c r="E1" s="1" t="s">
        <v>81</v>
      </c>
      <c r="F1" s="1" t="s">
        <v>82</v>
      </c>
      <c r="G1" s="1" t="s">
        <v>83</v>
      </c>
      <c r="H1" s="1" t="s">
        <v>84</v>
      </c>
    </row>
    <row r="2">
      <c r="A2" s="6">
        <v>100001.0</v>
      </c>
      <c r="B2" s="1" t="s">
        <v>85</v>
      </c>
      <c r="C2" s="6">
        <v>10.0</v>
      </c>
      <c r="D2" s="1" t="s">
        <v>47</v>
      </c>
      <c r="E2" s="6">
        <v>3200.0</v>
      </c>
      <c r="F2" s="1" t="s">
        <v>86</v>
      </c>
      <c r="G2" s="5">
        <v>46124.0</v>
      </c>
      <c r="H2" s="1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8.88"/>
    <col customWidth="1" min="3" max="3" width="12.5"/>
    <col customWidth="1" min="4" max="7" width="8.88"/>
    <col customWidth="1" min="9" max="9" width="10.75"/>
  </cols>
  <sheetData>
    <row r="1">
      <c r="A1" s="8"/>
      <c r="B1" s="9" t="s">
        <v>88</v>
      </c>
      <c r="C1" s="10"/>
      <c r="D1" s="10"/>
      <c r="E1" s="10"/>
      <c r="F1" s="10"/>
      <c r="G1" s="10"/>
      <c r="H1" s="10"/>
      <c r="I1" s="11"/>
    </row>
    <row r="2">
      <c r="A2" s="12"/>
      <c r="B2" s="13"/>
      <c r="I2" s="14"/>
    </row>
    <row r="3">
      <c r="A3" s="12"/>
      <c r="B3" s="13"/>
      <c r="I3" s="14"/>
    </row>
    <row r="4">
      <c r="A4" s="12"/>
      <c r="B4" s="13"/>
      <c r="I4" s="14"/>
    </row>
    <row r="5">
      <c r="A5" s="15"/>
      <c r="B5" s="16"/>
      <c r="C5" s="17"/>
      <c r="D5" s="17"/>
      <c r="E5" s="17"/>
      <c r="F5" s="17"/>
      <c r="G5" s="17"/>
      <c r="H5" s="17"/>
      <c r="I5" s="18"/>
    </row>
    <row r="6" ht="19.5" customHeight="1">
      <c r="A6" s="19" t="s">
        <v>89</v>
      </c>
      <c r="B6" s="20"/>
      <c r="C6" s="20"/>
      <c r="D6" s="20"/>
      <c r="E6" s="20"/>
      <c r="F6" s="20"/>
      <c r="G6" s="20"/>
      <c r="H6" s="20"/>
      <c r="I6" s="21"/>
    </row>
    <row r="7">
      <c r="A7" s="22"/>
      <c r="B7" s="23"/>
      <c r="F7" s="24" t="s">
        <v>90</v>
      </c>
      <c r="H7" s="5">
        <v>46124.0</v>
      </c>
      <c r="I7" s="14"/>
    </row>
    <row r="8">
      <c r="A8" s="25" t="s">
        <v>91</v>
      </c>
      <c r="C8" s="1" t="s">
        <v>92</v>
      </c>
      <c r="E8" s="24" t="s">
        <v>93</v>
      </c>
      <c r="G8" s="26"/>
      <c r="H8" s="27">
        <v>100001.0</v>
      </c>
      <c r="I8" s="28"/>
    </row>
    <row r="9">
      <c r="A9" s="25" t="s">
        <v>94</v>
      </c>
      <c r="C9" s="26" t="str">
        <f>IFERROR(VLOOKUP(C8, MasterSheet!A:G, 2, FALSE), "")</f>
        <v/>
      </c>
      <c r="D9" s="29"/>
      <c r="E9" s="24" t="s">
        <v>95</v>
      </c>
      <c r="G9" s="26"/>
      <c r="H9" s="29"/>
      <c r="I9" s="28"/>
    </row>
    <row r="10">
      <c r="A10" s="25" t="s">
        <v>96</v>
      </c>
      <c r="C10" s="26"/>
      <c r="D10" s="29"/>
      <c r="E10" s="24" t="s">
        <v>97</v>
      </c>
      <c r="G10" s="26"/>
      <c r="H10" s="29"/>
      <c r="I10" s="28"/>
    </row>
    <row r="11">
      <c r="A11" s="30"/>
      <c r="B11" s="31"/>
      <c r="C11" s="32"/>
      <c r="D11" s="32"/>
      <c r="E11" s="32"/>
      <c r="F11" s="32"/>
      <c r="G11" s="32"/>
      <c r="H11" s="32"/>
      <c r="I11" s="28"/>
    </row>
    <row r="12">
      <c r="A12" s="30"/>
      <c r="B12" s="33" t="s">
        <v>98</v>
      </c>
      <c r="C12" s="34">
        <v>3200.0</v>
      </c>
      <c r="D12" s="32"/>
      <c r="E12" s="35"/>
      <c r="F12" s="35"/>
      <c r="G12" s="36" t="s">
        <v>99</v>
      </c>
      <c r="H12" s="37">
        <v>300.0</v>
      </c>
      <c r="I12" s="28"/>
    </row>
    <row r="13">
      <c r="A13" s="30"/>
      <c r="B13" s="38"/>
      <c r="C13" s="39"/>
      <c r="D13" s="32"/>
      <c r="E13" s="35"/>
      <c r="F13" s="35"/>
      <c r="G13" s="38"/>
      <c r="H13" s="39"/>
      <c r="I13" s="28"/>
    </row>
    <row r="14">
      <c r="A14" s="30"/>
      <c r="B14" s="32"/>
      <c r="C14" s="32"/>
      <c r="D14" s="32"/>
      <c r="E14" s="32"/>
      <c r="F14" s="32"/>
      <c r="G14" s="32"/>
      <c r="H14" s="32"/>
      <c r="I14" s="28"/>
    </row>
    <row r="15">
      <c r="A15" s="30"/>
      <c r="B15" s="35"/>
      <c r="C15" s="35"/>
      <c r="D15" s="35"/>
      <c r="E15" s="35"/>
      <c r="F15" s="35"/>
      <c r="G15" s="35"/>
      <c r="H15" s="35"/>
      <c r="I15" s="28"/>
    </row>
    <row r="16">
      <c r="A16" s="30"/>
      <c r="B16" s="35"/>
      <c r="C16" s="35"/>
      <c r="D16" s="35"/>
      <c r="E16" s="35"/>
      <c r="F16" s="35"/>
      <c r="G16" s="35"/>
      <c r="H16" s="35"/>
      <c r="I16" s="28"/>
    </row>
    <row r="17">
      <c r="A17" s="30"/>
      <c r="B17" s="40" t="s">
        <v>100</v>
      </c>
      <c r="C17" s="41"/>
      <c r="D17" s="35"/>
      <c r="E17" s="35"/>
      <c r="F17" s="35"/>
      <c r="G17" s="40" t="s">
        <v>101</v>
      </c>
      <c r="H17" s="41"/>
      <c r="I17" s="28"/>
    </row>
    <row r="18">
      <c r="A18" s="42"/>
      <c r="B18" s="43"/>
      <c r="C18" s="43"/>
      <c r="D18" s="43"/>
      <c r="E18" s="43"/>
      <c r="F18" s="43"/>
      <c r="G18" s="43"/>
      <c r="H18" s="43"/>
      <c r="I18" s="18"/>
    </row>
  </sheetData>
  <mergeCells count="20">
    <mergeCell ref="A1:A5"/>
    <mergeCell ref="B1:H5"/>
    <mergeCell ref="A6:I6"/>
    <mergeCell ref="A8:B8"/>
    <mergeCell ref="C8:D8"/>
    <mergeCell ref="E8:F8"/>
    <mergeCell ref="A9:B9"/>
    <mergeCell ref="G9:H9"/>
    <mergeCell ref="G10:H10"/>
    <mergeCell ref="G12:G13"/>
    <mergeCell ref="H12:H13"/>
    <mergeCell ref="G17:H17"/>
    <mergeCell ref="C9:D9"/>
    <mergeCell ref="E9:F9"/>
    <mergeCell ref="A10:B10"/>
    <mergeCell ref="C10:D10"/>
    <mergeCell ref="E10:F10"/>
    <mergeCell ref="B12:B13"/>
    <mergeCell ref="C12:C13"/>
    <mergeCell ref="B17:C17"/>
  </mergeCells>
  <drawing r:id="rId1"/>
</worksheet>
</file>